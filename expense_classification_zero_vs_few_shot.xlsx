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obby\Downloads\"/>
    </mc:Choice>
  </mc:AlternateContent>
  <xr:revisionPtr revIDLastSave="0" documentId="13_ncr:1_{6BEAD53A-762D-486F-857A-E5342359398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lassification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2" l="1"/>
  <c r="B5" i="2"/>
  <c r="B4" i="2"/>
  <c r="C4" i="2" s="1"/>
  <c r="B7" i="2" l="1"/>
  <c r="C8" i="2"/>
  <c r="B6" i="2"/>
  <c r="C6" i="2"/>
  <c r="C7" i="2"/>
  <c r="C9" i="2" l="1"/>
</calcChain>
</file>

<file path=xl/sharedStrings.xml><?xml version="1.0" encoding="utf-8"?>
<sst xmlns="http://schemas.openxmlformats.org/spreadsheetml/2006/main" count="116" uniqueCount="56">
  <si>
    <t>Expense line</t>
  </si>
  <si>
    <t>Actual</t>
  </si>
  <si>
    <t>Zero-shot</t>
  </si>
  <si>
    <t>Few-shot</t>
  </si>
  <si>
    <t>Laptop for new joiner</t>
  </si>
  <si>
    <t>CAPEX-IT</t>
  </si>
  <si>
    <t>Diwali team dinner</t>
  </si>
  <si>
    <t>OPEX-Welfare</t>
  </si>
  <si>
    <t>AMC renewal for HVAC units, Plant 1100</t>
  </si>
  <si>
    <t>OPEX-Maintenance</t>
  </si>
  <si>
    <t>Installation of new CNC machine, Plant 1200</t>
  </si>
  <si>
    <t>CAPEX-Plant</t>
  </si>
  <si>
    <t>OPEX-Travel</t>
  </si>
  <si>
    <t>Office stationery and printer paper</t>
  </si>
  <si>
    <t>OPEX-Admin</t>
  </si>
  <si>
    <t>Annual Microsoft 365 licence renewal</t>
  </si>
  <si>
    <t>Server rack purchase for data centre</t>
  </si>
  <si>
    <t>Annual health check-up camp for employees</t>
  </si>
  <si>
    <t>Purchase of forklift</t>
  </si>
  <si>
    <t>Cab fare to airport for site visit</t>
  </si>
  <si>
    <t>AWS cloud hosting monthly subscription</t>
  </si>
  <si>
    <t>Pest control service, Plant 1100</t>
  </si>
  <si>
    <t>Legal notary and stamp paper fees</t>
  </si>
  <si>
    <t>Zero-shot vs Few-shot Accuracy</t>
  </si>
  <si>
    <t>Metric</t>
  </si>
  <si>
    <t>Total lines</t>
  </si>
  <si>
    <t>Correct</t>
  </si>
  <si>
    <t>Accuracy</t>
  </si>
  <si>
    <t>Score</t>
  </si>
  <si>
    <t>Improvement (correct)</t>
  </si>
  <si>
    <t>Improvement (pts)</t>
  </si>
  <si>
    <t>Categories</t>
  </si>
  <si>
    <t>Few-shot examples (not in test set)</t>
  </si>
  <si>
    <t>Laptop for new joiner  →  CAPEX-IT</t>
  </si>
  <si>
    <t>Diwali team dinner  →  OPEX-Welfare</t>
  </si>
  <si>
    <t>Annual antivirus licence renewal  →  OPEX-Admin</t>
  </si>
  <si>
    <t>Pump overhaul, Plant 1300  →  OPEX-Maintenance</t>
  </si>
  <si>
    <t>Purchase of new boiler, Plant 1300  →  CAPEX-Plant</t>
  </si>
  <si>
    <t>Train tickets for site visit  →  OPEX-Travel</t>
  </si>
  <si>
    <t>Note: blue = hardcoded inputs; black = formulas.</t>
  </si>
  <si>
    <t>Sno</t>
  </si>
  <si>
    <t>True/False</t>
  </si>
  <si>
    <t>Flight tickets Hyderabad–Banglore, client visit</t>
  </si>
  <si>
    <t>CAPEX-Vehicles</t>
  </si>
  <si>
    <t>Purchase a Royal Enfield Hunter</t>
  </si>
  <si>
    <t>Bonus for employee</t>
  </si>
  <si>
    <t>OPEX-Payroll</t>
  </si>
  <si>
    <t>Construction of new warehouse(Storage Location)</t>
  </si>
  <si>
    <t>Wifi login access to employees</t>
  </si>
  <si>
    <t>OPEX-IT</t>
  </si>
  <si>
    <t>Hotel stay for Board members, Hyderabad</t>
  </si>
  <si>
    <t>Repair of a machine motor</t>
  </si>
  <si>
    <t>Zero-Shot Accuracy</t>
  </si>
  <si>
    <t>16/20</t>
  </si>
  <si>
    <t>Few-Shot Accuracy</t>
  </si>
  <si>
    <t>19/20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</si>
</sst>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4"/>
      <name val="Arial"/>
      <charset val="1"/>
    </font>
    <font>
      <b/>
      <sz val="11"/>
      <color rgb="FF000000"/>
      <name val="Arial"/>
      <charset val="1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color theme="0"/>
      <name val="Calibri"/>
      <family val="2"/>
    </font>
    <font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0" xfId="0" applyFont="1"/>
    <xf numFmtId="0" fontId="2" fillId="0" borderId="0" xfId="0" applyFont="1"/>
    <xf numFmtId="0" fontId="5" fillId="0" borderId="1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0" fillId="0" borderId="0" xfId="0" applyFont="1"/>
    <xf numFmtId="0" fontId="6" fillId="0" borderId="1" xfId="0" applyFont="1" applyBorder="1"/>
    <xf numFmtId="0" fontId="5" fillId="0" borderId="0" xfId="0" applyFont="1"/>
    <xf numFmtId="0" fontId="5" fillId="0" borderId="0" xfId="0" applyFont="1" applyFill="1" applyBorder="1"/>
    <xf numFmtId="0" fontId="8" fillId="3" borderId="0" xfId="0" applyFont="1" applyFill="1"/>
    <xf numFmtId="0" fontId="9" fillId="3" borderId="0" xfId="0" applyFont="1" applyFill="1"/>
  </cellXfs>
  <cellStyles count="1">
    <cellStyle name="Normal" xfId="0" builtinId="0"/>
  </cellStyles>
  <dxfs count="44"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Normal="100" workbookViewId="0">
      <pane ySplit="1" topLeftCell="A17" activePane="bottomLeft" state="frozen"/>
      <selection pane="bottomLeft" activeCell="D25" sqref="D25"/>
    </sheetView>
  </sheetViews>
  <sheetFormatPr defaultColWidth="8.6328125" defaultRowHeight="14.5" x14ac:dyDescent="0.35"/>
  <cols>
    <col min="1" max="1" width="5" customWidth="1"/>
    <col min="2" max="2" width="48" customWidth="1"/>
    <col min="3" max="4" width="20" customWidth="1"/>
    <col min="5" max="5" width="14" customWidth="1"/>
    <col min="6" max="6" width="20" customWidth="1"/>
    <col min="7" max="7" width="14" customWidth="1"/>
  </cols>
  <sheetData>
    <row r="1" spans="1:7" ht="30" customHeight="1" x14ac:dyDescent="0.35">
      <c r="A1" s="14" t="s">
        <v>40</v>
      </c>
      <c r="B1" s="1" t="s">
        <v>0</v>
      </c>
      <c r="C1" s="1" t="s">
        <v>1</v>
      </c>
      <c r="D1" s="1" t="s">
        <v>2</v>
      </c>
      <c r="E1" s="14" t="s">
        <v>41</v>
      </c>
      <c r="F1" s="1" t="s">
        <v>3</v>
      </c>
      <c r="G1" s="14" t="s">
        <v>41</v>
      </c>
    </row>
    <row r="2" spans="1:7" x14ac:dyDescent="0.35">
      <c r="A2" s="2">
        <v>1</v>
      </c>
      <c r="B2" s="3" t="s">
        <v>4</v>
      </c>
      <c r="C2" s="13" t="s">
        <v>5</v>
      </c>
      <c r="D2" s="13" t="s">
        <v>5</v>
      </c>
      <c r="E2" s="2" t="b">
        <v>1</v>
      </c>
      <c r="F2" s="13" t="s">
        <v>5</v>
      </c>
      <c r="G2" s="2" t="b">
        <v>1</v>
      </c>
    </row>
    <row r="3" spans="1:7" x14ac:dyDescent="0.35">
      <c r="A3" s="2">
        <v>2</v>
      </c>
      <c r="B3" s="3" t="s">
        <v>6</v>
      </c>
      <c r="C3" s="13" t="s">
        <v>7</v>
      </c>
      <c r="D3" s="13" t="s">
        <v>7</v>
      </c>
      <c r="E3" s="2" t="b">
        <v>1</v>
      </c>
      <c r="F3" s="13" t="s">
        <v>7</v>
      </c>
      <c r="G3" s="2" t="b">
        <v>1</v>
      </c>
    </row>
    <row r="4" spans="1:7" x14ac:dyDescent="0.35">
      <c r="A4" s="2">
        <v>3</v>
      </c>
      <c r="B4" s="3" t="s">
        <v>8</v>
      </c>
      <c r="C4" s="13" t="s">
        <v>9</v>
      </c>
      <c r="D4" s="13" t="s">
        <v>9</v>
      </c>
      <c r="E4" s="2" t="b">
        <v>1</v>
      </c>
      <c r="F4" s="13" t="s">
        <v>9</v>
      </c>
      <c r="G4" s="2" t="b">
        <v>1</v>
      </c>
    </row>
    <row r="5" spans="1:7" x14ac:dyDescent="0.35">
      <c r="A5" s="2">
        <v>4</v>
      </c>
      <c r="B5" s="17" t="s">
        <v>10</v>
      </c>
      <c r="C5" s="13" t="s">
        <v>11</v>
      </c>
      <c r="D5" s="13" t="s">
        <v>11</v>
      </c>
      <c r="E5" s="2" t="b">
        <v>1</v>
      </c>
      <c r="F5" s="13" t="s">
        <v>11</v>
      </c>
      <c r="G5" s="2" t="b">
        <v>1</v>
      </c>
    </row>
    <row r="6" spans="1:7" x14ac:dyDescent="0.35">
      <c r="A6" s="2">
        <v>5</v>
      </c>
      <c r="B6" s="17" t="s">
        <v>42</v>
      </c>
      <c r="C6" s="13" t="s">
        <v>12</v>
      </c>
      <c r="D6" s="13" t="s">
        <v>12</v>
      </c>
      <c r="E6" s="2" t="b">
        <v>1</v>
      </c>
      <c r="F6" s="13" t="s">
        <v>12</v>
      </c>
      <c r="G6" s="2" t="b">
        <v>1</v>
      </c>
    </row>
    <row r="7" spans="1:7" x14ac:dyDescent="0.35">
      <c r="A7" s="2">
        <v>6</v>
      </c>
      <c r="B7" s="3" t="s">
        <v>13</v>
      </c>
      <c r="C7" s="13" t="s">
        <v>14</v>
      </c>
      <c r="D7" s="13" t="s">
        <v>14</v>
      </c>
      <c r="E7" s="2" t="b">
        <v>1</v>
      </c>
      <c r="F7" s="13" t="s">
        <v>14</v>
      </c>
      <c r="G7" s="2" t="b">
        <v>1</v>
      </c>
    </row>
    <row r="8" spans="1:7" x14ac:dyDescent="0.35">
      <c r="A8" s="2">
        <v>7</v>
      </c>
      <c r="B8" s="3" t="s">
        <v>15</v>
      </c>
      <c r="C8" s="13" t="s">
        <v>14</v>
      </c>
      <c r="D8" s="13" t="s">
        <v>5</v>
      </c>
      <c r="E8" s="2" t="b">
        <v>0</v>
      </c>
      <c r="F8" s="13" t="s">
        <v>14</v>
      </c>
      <c r="G8" s="2" t="b">
        <v>1</v>
      </c>
    </row>
    <row r="9" spans="1:7" x14ac:dyDescent="0.35">
      <c r="A9" s="2">
        <v>8</v>
      </c>
      <c r="B9" s="17" t="s">
        <v>50</v>
      </c>
      <c r="C9" s="13" t="s">
        <v>12</v>
      </c>
      <c r="D9" s="13" t="s">
        <v>12</v>
      </c>
      <c r="E9" s="2" t="b">
        <v>1</v>
      </c>
      <c r="F9" s="13" t="s">
        <v>12</v>
      </c>
      <c r="G9" s="2" t="b">
        <v>1</v>
      </c>
    </row>
    <row r="10" spans="1:7" x14ac:dyDescent="0.35">
      <c r="A10" s="2">
        <v>9</v>
      </c>
      <c r="B10" s="3" t="s">
        <v>16</v>
      </c>
      <c r="C10" s="13" t="s">
        <v>5</v>
      </c>
      <c r="D10" s="13" t="s">
        <v>5</v>
      </c>
      <c r="E10" s="2" t="b">
        <v>1</v>
      </c>
      <c r="F10" s="13" t="s">
        <v>5</v>
      </c>
      <c r="G10" s="2" t="b">
        <v>1</v>
      </c>
    </row>
    <row r="11" spans="1:7" x14ac:dyDescent="0.35">
      <c r="A11" s="2">
        <v>10</v>
      </c>
      <c r="B11" s="17" t="s">
        <v>51</v>
      </c>
      <c r="C11" s="13" t="s">
        <v>9</v>
      </c>
      <c r="D11" s="13" t="s">
        <v>11</v>
      </c>
      <c r="E11" s="2" t="b">
        <v>0</v>
      </c>
      <c r="F11" s="13" t="s">
        <v>9</v>
      </c>
      <c r="G11" s="2" t="b">
        <v>1</v>
      </c>
    </row>
    <row r="12" spans="1:7" x14ac:dyDescent="0.35">
      <c r="A12" s="2">
        <v>11</v>
      </c>
      <c r="B12" s="3" t="s">
        <v>17</v>
      </c>
      <c r="C12" s="13" t="s">
        <v>7</v>
      </c>
      <c r="D12" s="13" t="s">
        <v>7</v>
      </c>
      <c r="E12" s="2" t="b">
        <v>1</v>
      </c>
      <c r="F12" s="13" t="s">
        <v>7</v>
      </c>
      <c r="G12" s="2" t="b">
        <v>1</v>
      </c>
    </row>
    <row r="13" spans="1:7" x14ac:dyDescent="0.35">
      <c r="A13" s="2">
        <v>12</v>
      </c>
      <c r="B13" s="18" t="s">
        <v>44</v>
      </c>
      <c r="C13" s="13" t="s">
        <v>43</v>
      </c>
      <c r="D13" s="13" t="s">
        <v>43</v>
      </c>
      <c r="E13" s="2" t="b">
        <v>1</v>
      </c>
      <c r="F13" s="13" t="s">
        <v>43</v>
      </c>
      <c r="G13" s="2" t="b">
        <v>1</v>
      </c>
    </row>
    <row r="14" spans="1:7" x14ac:dyDescent="0.35">
      <c r="A14" s="2">
        <v>13</v>
      </c>
      <c r="B14" s="3" t="s">
        <v>18</v>
      </c>
      <c r="C14" s="13" t="s">
        <v>11</v>
      </c>
      <c r="D14" s="13" t="s">
        <v>11</v>
      </c>
      <c r="E14" s="2" t="b">
        <v>1</v>
      </c>
      <c r="F14" s="13" t="s">
        <v>11</v>
      </c>
      <c r="G14" s="2" t="b">
        <v>1</v>
      </c>
    </row>
    <row r="15" spans="1:7" x14ac:dyDescent="0.35">
      <c r="A15" s="2">
        <v>14</v>
      </c>
      <c r="B15" s="3" t="s">
        <v>19</v>
      </c>
      <c r="C15" s="13" t="s">
        <v>12</v>
      </c>
      <c r="D15" s="13" t="s">
        <v>12</v>
      </c>
      <c r="E15" s="2" t="b">
        <v>1</v>
      </c>
      <c r="F15" s="13" t="s">
        <v>12</v>
      </c>
      <c r="G15" s="2" t="b">
        <v>1</v>
      </c>
    </row>
    <row r="16" spans="1:7" x14ac:dyDescent="0.35">
      <c r="A16" s="2">
        <v>15</v>
      </c>
      <c r="B16" s="3" t="s">
        <v>20</v>
      </c>
      <c r="C16" s="13" t="s">
        <v>14</v>
      </c>
      <c r="D16" s="13" t="s">
        <v>5</v>
      </c>
      <c r="E16" s="2" t="b">
        <v>0</v>
      </c>
      <c r="F16" s="13" t="s">
        <v>14</v>
      </c>
      <c r="G16" s="2" t="b">
        <v>1</v>
      </c>
    </row>
    <row r="17" spans="1:7" x14ac:dyDescent="0.35">
      <c r="A17" s="2">
        <v>16</v>
      </c>
      <c r="B17" s="17" t="s">
        <v>45</v>
      </c>
      <c r="C17" s="13" t="s">
        <v>46</v>
      </c>
      <c r="D17" s="13" t="s">
        <v>7</v>
      </c>
      <c r="E17" s="2" t="b">
        <v>1</v>
      </c>
      <c r="F17" s="13" t="s">
        <v>46</v>
      </c>
      <c r="G17" s="2" t="b">
        <v>1</v>
      </c>
    </row>
    <row r="18" spans="1:7" x14ac:dyDescent="0.35">
      <c r="A18" s="2">
        <v>17</v>
      </c>
      <c r="B18" s="3" t="s">
        <v>21</v>
      </c>
      <c r="C18" s="13" t="s">
        <v>9</v>
      </c>
      <c r="D18" s="13" t="s">
        <v>14</v>
      </c>
      <c r="E18" s="2" t="b">
        <v>0</v>
      </c>
      <c r="F18" s="13" t="s">
        <v>14</v>
      </c>
      <c r="G18" s="15" t="b">
        <v>0</v>
      </c>
    </row>
    <row r="19" spans="1:7" x14ac:dyDescent="0.35">
      <c r="A19" s="2">
        <v>18</v>
      </c>
      <c r="B19" s="17" t="s">
        <v>48</v>
      </c>
      <c r="C19" s="13" t="s">
        <v>49</v>
      </c>
      <c r="D19" s="13" t="s">
        <v>49</v>
      </c>
      <c r="E19" s="2" t="b">
        <v>1</v>
      </c>
      <c r="F19" s="13" t="s">
        <v>49</v>
      </c>
      <c r="G19" s="2" t="b">
        <v>1</v>
      </c>
    </row>
    <row r="20" spans="1:7" x14ac:dyDescent="0.35">
      <c r="A20" s="2">
        <v>19</v>
      </c>
      <c r="B20" s="17" t="s">
        <v>47</v>
      </c>
      <c r="C20" s="13" t="s">
        <v>11</v>
      </c>
      <c r="D20" s="13" t="s">
        <v>11</v>
      </c>
      <c r="E20" s="2" t="b">
        <v>1</v>
      </c>
      <c r="F20" s="13" t="s">
        <v>11</v>
      </c>
      <c r="G20" s="2" t="b">
        <v>1</v>
      </c>
    </row>
    <row r="21" spans="1:7" x14ac:dyDescent="0.35">
      <c r="A21" s="2">
        <v>20</v>
      </c>
      <c r="B21" s="3" t="s">
        <v>22</v>
      </c>
      <c r="C21" s="13" t="s">
        <v>14</v>
      </c>
      <c r="D21" s="13" t="s">
        <v>14</v>
      </c>
      <c r="E21" s="2" t="b">
        <v>1</v>
      </c>
      <c r="F21" s="13" t="s">
        <v>14</v>
      </c>
      <c r="G21" s="2" t="b">
        <v>1</v>
      </c>
    </row>
    <row r="22" spans="1:7" x14ac:dyDescent="0.35">
      <c r="F22" s="16"/>
    </row>
    <row r="23" spans="1:7" x14ac:dyDescent="0.35">
      <c r="B23" s="20" t="s">
        <v>52</v>
      </c>
      <c r="C23" s="19" t="s">
        <v>53</v>
      </c>
      <c r="F23" s="16"/>
    </row>
    <row r="24" spans="1:7" x14ac:dyDescent="0.35">
      <c r="B24" s="21" t="s">
        <v>54</v>
      </c>
      <c r="C24" s="19" t="s">
        <v>55</v>
      </c>
    </row>
  </sheetData>
  <conditionalFormatting sqref="E2:E21">
    <cfRule type="cellIs" dxfId="43" priority="42" operator="equal">
      <formula>"✘"</formula>
    </cfRule>
    <cfRule type="cellIs" dxfId="42" priority="43" operator="equal">
      <formula>"✔"</formula>
    </cfRule>
  </conditionalFormatting>
  <conditionalFormatting sqref="G18">
    <cfRule type="cellIs" dxfId="41" priority="44" operator="equal">
      <formula>"✘"</formula>
    </cfRule>
    <cfRule type="cellIs" dxfId="40" priority="45" operator="equal">
      <formula>"✔"</formula>
    </cfRule>
  </conditionalFormatting>
  <conditionalFormatting sqref="G6">
    <cfRule type="cellIs" dxfId="37" priority="37" operator="equal">
      <formula>"✘"</formula>
    </cfRule>
    <cfRule type="cellIs" dxfId="36" priority="38" operator="equal">
      <formula>"✔"</formula>
    </cfRule>
  </conditionalFormatting>
  <conditionalFormatting sqref="G7">
    <cfRule type="cellIs" dxfId="35" priority="35" operator="equal">
      <formula>"✘"</formula>
    </cfRule>
    <cfRule type="cellIs" dxfId="34" priority="36" operator="equal">
      <formula>"✔"</formula>
    </cfRule>
  </conditionalFormatting>
  <conditionalFormatting sqref="G8">
    <cfRule type="cellIs" dxfId="33" priority="33" operator="equal">
      <formula>"✘"</formula>
    </cfRule>
    <cfRule type="cellIs" dxfId="32" priority="34" operator="equal">
      <formula>"✔"</formula>
    </cfRule>
  </conditionalFormatting>
  <conditionalFormatting sqref="G9">
    <cfRule type="cellIs" dxfId="31" priority="31" operator="equal">
      <formula>"✘"</formula>
    </cfRule>
    <cfRule type="cellIs" dxfId="30" priority="32" operator="equal">
      <formula>"✔"</formula>
    </cfRule>
  </conditionalFormatting>
  <conditionalFormatting sqref="G10">
    <cfRule type="cellIs" dxfId="29" priority="29" operator="equal">
      <formula>"✘"</formula>
    </cfRule>
    <cfRule type="cellIs" dxfId="28" priority="30" operator="equal">
      <formula>"✔"</formula>
    </cfRule>
  </conditionalFormatting>
  <conditionalFormatting sqref="G11">
    <cfRule type="cellIs" dxfId="27" priority="27" operator="equal">
      <formula>"✘"</formula>
    </cfRule>
    <cfRule type="cellIs" dxfId="26" priority="28" operator="equal">
      <formula>"✔"</formula>
    </cfRule>
  </conditionalFormatting>
  <conditionalFormatting sqref="G12">
    <cfRule type="cellIs" dxfId="25" priority="25" operator="equal">
      <formula>"✘"</formula>
    </cfRule>
    <cfRule type="cellIs" dxfId="24" priority="26" operator="equal">
      <formula>"✔"</formula>
    </cfRule>
  </conditionalFormatting>
  <conditionalFormatting sqref="G13">
    <cfRule type="cellIs" dxfId="23" priority="23" operator="equal">
      <formula>"✘"</formula>
    </cfRule>
    <cfRule type="cellIs" dxfId="22" priority="24" operator="equal">
      <formula>"✔"</formula>
    </cfRule>
  </conditionalFormatting>
  <conditionalFormatting sqref="G14">
    <cfRule type="cellIs" dxfId="21" priority="21" operator="equal">
      <formula>"✘"</formula>
    </cfRule>
    <cfRule type="cellIs" dxfId="20" priority="22" operator="equal">
      <formula>"✔"</formula>
    </cfRule>
  </conditionalFormatting>
  <conditionalFormatting sqref="G15">
    <cfRule type="cellIs" dxfId="19" priority="19" operator="equal">
      <formula>"✘"</formula>
    </cfRule>
    <cfRule type="cellIs" dxfId="18" priority="20" operator="equal">
      <formula>"✔"</formula>
    </cfRule>
  </conditionalFormatting>
  <conditionalFormatting sqref="G16">
    <cfRule type="cellIs" dxfId="17" priority="17" operator="equal">
      <formula>"✘"</formula>
    </cfRule>
    <cfRule type="cellIs" dxfId="16" priority="18" operator="equal">
      <formula>"✔"</formula>
    </cfRule>
  </conditionalFormatting>
  <conditionalFormatting sqref="G17">
    <cfRule type="cellIs" dxfId="15" priority="15" operator="equal">
      <formula>"✘"</formula>
    </cfRule>
    <cfRule type="cellIs" dxfId="14" priority="16" operator="equal">
      <formula>"✔"</formula>
    </cfRule>
  </conditionalFormatting>
  <conditionalFormatting sqref="G19">
    <cfRule type="cellIs" dxfId="13" priority="13" operator="equal">
      <formula>"✘"</formula>
    </cfRule>
    <cfRule type="cellIs" dxfId="12" priority="14" operator="equal">
      <formula>"✔"</formula>
    </cfRule>
  </conditionalFormatting>
  <conditionalFormatting sqref="G20">
    <cfRule type="cellIs" dxfId="11" priority="11" operator="equal">
      <formula>"✘"</formula>
    </cfRule>
    <cfRule type="cellIs" dxfId="10" priority="12" operator="equal">
      <formula>"✔"</formula>
    </cfRule>
  </conditionalFormatting>
  <conditionalFormatting sqref="G21">
    <cfRule type="cellIs" dxfId="9" priority="9" operator="equal">
      <formula>"✘"</formula>
    </cfRule>
    <cfRule type="cellIs" dxfId="8" priority="10" operator="equal">
      <formula>"✔"</formula>
    </cfRule>
  </conditionalFormatting>
  <conditionalFormatting sqref="G2">
    <cfRule type="cellIs" dxfId="7" priority="7" operator="equal">
      <formula>"✘"</formula>
    </cfRule>
    <cfRule type="cellIs" dxfId="6" priority="8" operator="equal">
      <formula>"✔"</formula>
    </cfRule>
  </conditionalFormatting>
  <conditionalFormatting sqref="G3">
    <cfRule type="cellIs" dxfId="5" priority="5" operator="equal">
      <formula>"✘"</formula>
    </cfRule>
    <cfRule type="cellIs" dxfId="4" priority="6" operator="equal">
      <formula>"✔"</formula>
    </cfRule>
  </conditionalFormatting>
  <conditionalFormatting sqref="G5">
    <cfRule type="cellIs" dxfId="3" priority="3" operator="equal">
      <formula>"✘"</formula>
    </cfRule>
    <cfRule type="cellIs" dxfId="2" priority="4" operator="equal">
      <formula>"✔"</formula>
    </cfRule>
  </conditionalFormatting>
  <conditionalFormatting sqref="G4">
    <cfRule type="cellIs" dxfId="1" priority="1" operator="equal">
      <formula>"✘"</formula>
    </cfRule>
    <cfRule type="cellIs" dxfId="0" priority="2" operator="equal">
      <formula>"✔"</formula>
    </cfRule>
  </conditionalFormatting>
  <dataValidations count="1">
    <dataValidation type="list" sqref="C2:D21 F2:F21" xr:uid="{00000000-0002-0000-0000-000000000000}">
      <formula1>"CAPEX-IT,CAPEX-Plant,OPEX-Maintenance,OPEX-Welfare,OPEX-Travel,OPEX-Admin"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zoomScaleNormal="100" workbookViewId="0"/>
  </sheetViews>
  <sheetFormatPr defaultColWidth="8.6328125" defaultRowHeight="14.5" x14ac:dyDescent="0.35"/>
  <cols>
    <col min="1" max="1" width="48" customWidth="1"/>
    <col min="2" max="3" width="14" customWidth="1"/>
  </cols>
  <sheetData>
    <row r="1" spans="1:3" ht="18" x14ac:dyDescent="0.4">
      <c r="A1" s="4" t="s">
        <v>23</v>
      </c>
    </row>
    <row r="3" spans="1:3" x14ac:dyDescent="0.35">
      <c r="A3" s="5" t="s">
        <v>24</v>
      </c>
      <c r="B3" s="5" t="s">
        <v>2</v>
      </c>
      <c r="C3" s="5" t="s">
        <v>3</v>
      </c>
    </row>
    <row r="4" spans="1:3" x14ac:dyDescent="0.35">
      <c r="A4" s="3" t="s">
        <v>25</v>
      </c>
      <c r="B4" s="2">
        <f>COUNTA(Classification!B2:B21)</f>
        <v>20</v>
      </c>
      <c r="C4" s="2">
        <f>B4</f>
        <v>20</v>
      </c>
    </row>
    <row r="5" spans="1:3" x14ac:dyDescent="0.35">
      <c r="A5" s="3" t="s">
        <v>26</v>
      </c>
      <c r="B5" s="2">
        <f>COUNTIF(Classification!E2:E21,"✔")</f>
        <v>0</v>
      </c>
      <c r="C5" s="2">
        <f>COUNTIF(Classification!G2:G21,"✔")</f>
        <v>0</v>
      </c>
    </row>
    <row r="6" spans="1:3" x14ac:dyDescent="0.35">
      <c r="A6" s="3" t="s">
        <v>27</v>
      </c>
      <c r="B6" s="6">
        <f>B5/B4</f>
        <v>0</v>
      </c>
      <c r="C6" s="6">
        <f>C5/C4</f>
        <v>0</v>
      </c>
    </row>
    <row r="7" spans="1:3" x14ac:dyDescent="0.35">
      <c r="A7" s="3" t="s">
        <v>28</v>
      </c>
      <c r="B7" s="2" t="str">
        <f>B5&amp;"/"&amp;B4</f>
        <v>0/20</v>
      </c>
      <c r="C7" s="2" t="str">
        <f>C5&amp;"/"&amp;C4</f>
        <v>0/20</v>
      </c>
    </row>
    <row r="8" spans="1:3" x14ac:dyDescent="0.35">
      <c r="A8" s="7" t="s">
        <v>29</v>
      </c>
      <c r="B8" s="8"/>
      <c r="C8" s="9">
        <f>C5-B5</f>
        <v>0</v>
      </c>
    </row>
    <row r="9" spans="1:3" x14ac:dyDescent="0.35">
      <c r="A9" s="7" t="s">
        <v>30</v>
      </c>
      <c r="B9" s="8"/>
      <c r="C9" s="10">
        <f>(C6-B6)*100</f>
        <v>0</v>
      </c>
    </row>
    <row r="11" spans="1:3" x14ac:dyDescent="0.35">
      <c r="A11" s="11" t="s">
        <v>31</v>
      </c>
    </row>
    <row r="12" spans="1:3" x14ac:dyDescent="0.35">
      <c r="A12" s="12" t="s">
        <v>5</v>
      </c>
    </row>
    <row r="13" spans="1:3" x14ac:dyDescent="0.35">
      <c r="A13" s="12" t="s">
        <v>11</v>
      </c>
    </row>
    <row r="14" spans="1:3" x14ac:dyDescent="0.35">
      <c r="A14" s="12" t="s">
        <v>9</v>
      </c>
    </row>
    <row r="15" spans="1:3" x14ac:dyDescent="0.35">
      <c r="A15" s="12" t="s">
        <v>7</v>
      </c>
    </row>
    <row r="16" spans="1:3" x14ac:dyDescent="0.35">
      <c r="A16" s="12" t="s">
        <v>12</v>
      </c>
    </row>
    <row r="17" spans="1:1" x14ac:dyDescent="0.35">
      <c r="A17" s="12" t="s">
        <v>14</v>
      </c>
    </row>
    <row r="19" spans="1:1" x14ac:dyDescent="0.35">
      <c r="A19" s="11" t="s">
        <v>32</v>
      </c>
    </row>
    <row r="20" spans="1:1" x14ac:dyDescent="0.35">
      <c r="A20" s="12" t="s">
        <v>33</v>
      </c>
    </row>
    <row r="21" spans="1:1" x14ac:dyDescent="0.35">
      <c r="A21" s="12" t="s">
        <v>34</v>
      </c>
    </row>
    <row r="22" spans="1:1" x14ac:dyDescent="0.35">
      <c r="A22" s="12" t="s">
        <v>35</v>
      </c>
    </row>
    <row r="23" spans="1:1" x14ac:dyDescent="0.35">
      <c r="A23" s="12" t="s">
        <v>36</v>
      </c>
    </row>
    <row r="24" spans="1:1" x14ac:dyDescent="0.35">
      <c r="A24" s="12" t="s">
        <v>37</v>
      </c>
    </row>
    <row r="25" spans="1:1" x14ac:dyDescent="0.35">
      <c r="A25" s="12" t="s">
        <v>38</v>
      </c>
    </row>
    <row r="27" spans="1:1" x14ac:dyDescent="0.35">
      <c r="A27" s="12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Sri Harsha Nelluri</cp:lastModifiedBy>
  <cp:revision>0</cp:revision>
  <dcterms:created xsi:type="dcterms:W3CDTF">2026-10-30T08:20:45Z</dcterms:created>
  <dcterms:modified xsi:type="dcterms:W3CDTF">2026-10-30T08:50:40Z</dcterms:modified>
  <dc:language>en-US</dc:language>
</cp:coreProperties>
</file>